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DA0CA51B-C299-4C2D-B311-EC695C9673F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ilucion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1" l="1"/>
  <c r="I19" i="1"/>
  <c r="K33" i="1"/>
  <c r="L33" i="1" s="1"/>
  <c r="M33" i="1" s="1"/>
  <c r="I33" i="1"/>
  <c r="G33" i="1"/>
  <c r="K30" i="1"/>
  <c r="L30" i="1" s="1"/>
  <c r="M30" i="1" s="1"/>
  <c r="I30" i="1"/>
  <c r="G30" i="1"/>
  <c r="K29" i="1"/>
  <c r="L29" i="1" s="1"/>
  <c r="M29" i="1" s="1"/>
  <c r="I29" i="1"/>
  <c r="G29" i="1"/>
  <c r="K28" i="1"/>
  <c r="L28" i="1" s="1"/>
  <c r="M28" i="1" s="1"/>
  <c r="I28" i="1"/>
  <c r="G28" i="1"/>
  <c r="K27" i="1"/>
  <c r="L27" i="1" s="1"/>
  <c r="M27" i="1" s="1"/>
  <c r="I27" i="1"/>
  <c r="G27" i="1"/>
  <c r="K26" i="1"/>
  <c r="L26" i="1" s="1"/>
  <c r="M26" i="1" s="1"/>
  <c r="I26" i="1"/>
  <c r="G26" i="1"/>
  <c r="K25" i="1"/>
  <c r="L25" i="1" s="1"/>
  <c r="M25" i="1" s="1"/>
  <c r="I25" i="1"/>
  <c r="G25" i="1"/>
  <c r="K24" i="1"/>
  <c r="L24" i="1" s="1"/>
  <c r="M24" i="1" s="1"/>
  <c r="G24" i="1"/>
  <c r="K23" i="1"/>
  <c r="L23" i="1" s="1"/>
  <c r="M23" i="1" s="1"/>
  <c r="I23" i="1"/>
  <c r="G23" i="1"/>
  <c r="K22" i="1"/>
  <c r="L22" i="1" s="1"/>
  <c r="M22" i="1" s="1"/>
  <c r="I22" i="1"/>
  <c r="G22" i="1"/>
  <c r="K21" i="1"/>
  <c r="L21" i="1" s="1"/>
  <c r="M21" i="1" s="1"/>
  <c r="I21" i="1"/>
  <c r="G21" i="1"/>
  <c r="K20" i="1"/>
  <c r="L20" i="1" s="1"/>
  <c r="M20" i="1" s="1"/>
  <c r="I20" i="1"/>
  <c r="G20" i="1"/>
  <c r="K19" i="1"/>
  <c r="L19" i="1" s="1"/>
  <c r="M19" i="1" s="1"/>
  <c r="G19" i="1"/>
  <c r="K18" i="1"/>
  <c r="L18" i="1" s="1"/>
  <c r="M18" i="1" s="1"/>
  <c r="I18" i="1"/>
  <c r="G18" i="1"/>
  <c r="C37" i="1" s="1"/>
  <c r="K17" i="1"/>
  <c r="L17" i="1" s="1"/>
  <c r="M17" i="1" s="1"/>
  <c r="I17" i="1"/>
  <c r="G17" i="1"/>
  <c r="K16" i="1"/>
  <c r="L16" i="1" s="1"/>
  <c r="M16" i="1" s="1"/>
  <c r="I16" i="1"/>
  <c r="G16" i="1"/>
  <c r="K15" i="1"/>
  <c r="L15" i="1" s="1"/>
  <c r="M15" i="1" s="1"/>
  <c r="I15" i="1"/>
  <c r="G15" i="1"/>
  <c r="K14" i="1"/>
  <c r="L14" i="1" s="1"/>
  <c r="M14" i="1" s="1"/>
  <c r="I14" i="1"/>
  <c r="G14" i="1"/>
  <c r="K13" i="1"/>
  <c r="L13" i="1" s="1"/>
  <c r="M13" i="1" s="1"/>
  <c r="I13" i="1"/>
  <c r="G13" i="1"/>
  <c r="K12" i="1"/>
  <c r="L12" i="1" s="1"/>
  <c r="M12" i="1" s="1"/>
  <c r="I12" i="1"/>
  <c r="G12" i="1"/>
  <c r="K11" i="1"/>
  <c r="L11" i="1" s="1"/>
  <c r="M11" i="1" s="1"/>
  <c r="I11" i="1"/>
  <c r="G11" i="1"/>
  <c r="K10" i="1"/>
  <c r="L10" i="1" s="1"/>
  <c r="M10" i="1" s="1"/>
  <c r="I10" i="1"/>
  <c r="G10" i="1"/>
  <c r="K9" i="1"/>
  <c r="L9" i="1" s="1"/>
  <c r="M9" i="1" s="1"/>
  <c r="G9" i="1"/>
  <c r="K8" i="1"/>
  <c r="L8" i="1" s="1"/>
  <c r="M8" i="1" s="1"/>
  <c r="I8" i="1"/>
  <c r="G8" i="1"/>
  <c r="C36" i="1" s="1"/>
</calcChain>
</file>

<file path=xl/sharedStrings.xml><?xml version="1.0" encoding="utf-8"?>
<sst xmlns="http://schemas.openxmlformats.org/spreadsheetml/2006/main" count="111" uniqueCount="64">
  <si>
    <t>Diluciones de los botes nuevos · 26-oct-2026</t>
  </si>
  <si>
    <t>Cómo se usa:</t>
  </si>
  <si>
    <t>1. Pesa el material que dice «Material a pesar». Escribe lo que cayó de verdad en la columna amarilla «Material real».</t>
  </si>
  <si>
    <t>2. La hoja te dice cuánto diluyente añadir para llegar al % objetivo. Añádelo y escribe lo que cayó en «Diluyente real».</t>
  </si>
  <si>
    <t>3. «% exacto» es el que va a la app, en Diluciones. Todos los pesos en gramos, con 3 decimales (0,001 g = 1 mg).</t>
  </si>
  <si>
    <t>Si el material de partida ya viene diluido (columna D menor que 100 %), «material» es el peso de esa solución.</t>
  </si>
  <si>
    <t>Material</t>
  </si>
  <si>
    <t>Frasco</t>
  </si>
  <si>
    <t>Diluyente</t>
  </si>
  <si>
    <t>% del material de partida</t>
  </si>
  <si>
    <t>% objetivo</t>
  </si>
  <si>
    <t>Total objetivo (g)</t>
  </si>
  <si>
    <t>Material a pesar (g)</t>
  </si>
  <si>
    <t>Material real (g)</t>
  </si>
  <si>
    <t>Diluyente a añadir (g)</t>
  </si>
  <si>
    <t>Diluyente real (g)</t>
  </si>
  <si>
    <t>Total real (g)</t>
  </si>
  <si>
    <t>% exacto</t>
  </si>
  <si>
    <t>Diferencia con el objetivo</t>
  </si>
  <si>
    <t>Notas</t>
  </si>
  <si>
    <t>Sandalmysore Core</t>
  </si>
  <si>
    <t>20 ml</t>
  </si>
  <si>
    <t>Alcohol 96º</t>
  </si>
  <si>
    <t>Dartanol</t>
  </si>
  <si>
    <t>Exaltolide Total</t>
  </si>
  <si>
    <t>Cristalino: disolver en tibio</t>
  </si>
  <si>
    <t>Auranone</t>
  </si>
  <si>
    <t>Polysantol</t>
  </si>
  <si>
    <t>Tope IFRA 1,1 % en el acabado</t>
  </si>
  <si>
    <t>Isobutavan</t>
  </si>
  <si>
    <t>Operanide</t>
  </si>
  <si>
    <t>Veramoss</t>
  </si>
  <si>
    <t>Cristalino</t>
  </si>
  <si>
    <t>Etil vainillina</t>
  </si>
  <si>
    <t>Ajenjo AE</t>
  </si>
  <si>
    <t>Tope por tuyona 3,1 % en el acabado</t>
  </si>
  <si>
    <t>Indol</t>
  </si>
  <si>
    <t>10 ml</t>
  </si>
  <si>
    <t>DPG</t>
  </si>
  <si>
    <t>Filbertone</t>
  </si>
  <si>
    <t>5 ml</t>
  </si>
  <si>
    <t>Se parte del bote al 1 % en TEC</t>
  </si>
  <si>
    <t>Para-cresol</t>
  </si>
  <si>
    <t>Se parte del bote al 10 % en IPM. Tope IFRA 0,005 % en el acabado</t>
  </si>
  <si>
    <t>Gálbano AE</t>
  </si>
  <si>
    <t>Si queda flojo, se hace otro más fuerte</t>
  </si>
  <si>
    <t>Luminide</t>
  </si>
  <si>
    <t>Se parte del bote al 25 %</t>
  </si>
  <si>
    <t>Ambrarome</t>
  </si>
  <si>
    <t>Se parte del bote al 50 %</t>
  </si>
  <si>
    <t>Prunella</t>
  </si>
  <si>
    <t>Shangralide</t>
  </si>
  <si>
    <t>Orris Givco</t>
  </si>
  <si>
    <t>Opopónax AE</t>
  </si>
  <si>
    <t>Tope IFRA 0,43 % en el acabado</t>
  </si>
  <si>
    <t>Mirra AE</t>
  </si>
  <si>
    <t>Clearwood</t>
  </si>
  <si>
    <t>Tintura de cardamomo verde (prueba)</t>
  </si>
  <si>
    <t>La tintura cuenta como 100 %</t>
  </si>
  <si>
    <t>Ejemplo (no es un frasco real):</t>
  </si>
  <si>
    <t>Ejemplo: Polysantol</t>
  </si>
  <si>
    <t>Cayeron 1,512 g de material y 13,600 g de alcohol</t>
  </si>
  <si>
    <t>Diluyente que vas a necesitar (aprox., con los pesos objetivo)</t>
  </si>
  <si>
    <t>Supuestos: frasco de 20 ml con alcohol ≈ 15 g; 5 ml con alcohol ≈ 3,5 g; 5 ml con DPG ≈ 4,5 g; 10 ml con DPG ≈ 9 g. Diluciones y tamaños acordados en el hilo del 26-oct; el detalle está en nuevos-2026-10-26.md.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</si>
</sst>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#%"/>
    <numFmt numFmtId="165" formatCode="0.000"/>
    <numFmt numFmtId="166" formatCode="0.0000%"/>
    <numFmt numFmtId="167" formatCode="\+0.0000%;\-0.0000%;0.0000%"/>
    <numFmt numFmtId="168" formatCode="0.0&quot; g&quot;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color rgb="FF777777"/>
      <name val="Arial"/>
      <charset val="1"/>
    </font>
    <font>
      <i/>
      <sz val="9"/>
      <name val="Arial"/>
      <charset val="1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165" fontId="3" fillId="0" borderId="0" xfId="0" applyNumberFormat="1" applyFont="1"/>
    <xf numFmtId="165" fontId="4" fillId="3" borderId="0" xfId="0" applyNumberFormat="1" applyFont="1" applyFill="1"/>
    <xf numFmtId="166" fontId="3" fillId="0" borderId="0" xfId="0" applyNumberFormat="1" applyFont="1"/>
    <xf numFmtId="167" fontId="3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5" fontId="5" fillId="3" borderId="0" xfId="0" applyNumberFormat="1" applyFont="1" applyFill="1"/>
    <xf numFmtId="166" fontId="5" fillId="0" borderId="0" xfId="0" applyNumberFormat="1" applyFont="1"/>
    <xf numFmtId="167" fontId="5" fillId="0" borderId="0" xfId="0" applyNumberFormat="1" applyFont="1"/>
    <xf numFmtId="168" fontId="3" fillId="0" borderId="0" xfId="0" applyNumberFormat="1" applyFont="1"/>
    <xf numFmtId="0" fontId="6" fillId="0" borderId="0" xfId="0" applyFont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27" sqref="J27"/>
    </sheetView>
  </sheetViews>
  <sheetFormatPr baseColWidth="10" defaultColWidth="8.7109375" defaultRowHeight="15" x14ac:dyDescent="0.25"/>
  <cols>
    <col min="1" max="1" width="34" customWidth="1"/>
    <col min="2" max="2" width="8" customWidth="1"/>
    <col min="3" max="4" width="13" customWidth="1"/>
    <col min="5" max="5" width="11" customWidth="1"/>
    <col min="6" max="6" width="12" customWidth="1"/>
    <col min="7" max="10" width="13" customWidth="1"/>
    <col min="11" max="12" width="12" customWidth="1"/>
    <col min="13" max="13" width="13" customWidth="1"/>
    <col min="14" max="14" width="44" customWidth="1"/>
  </cols>
  <sheetData>
    <row r="1" spans="1:14" ht="16.5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3" t="s">
        <v>2</v>
      </c>
    </row>
    <row r="4" spans="1:14" x14ac:dyDescent="0.25">
      <c r="A4" s="3" t="s">
        <v>3</v>
      </c>
    </row>
    <row r="5" spans="1:14" x14ac:dyDescent="0.25">
      <c r="A5" s="3" t="s">
        <v>4</v>
      </c>
    </row>
    <row r="6" spans="1:14" x14ac:dyDescent="0.25">
      <c r="A6" s="3" t="s">
        <v>5</v>
      </c>
    </row>
    <row r="7" spans="1:14" ht="42" customHeight="1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</row>
    <row r="8" spans="1:14" x14ac:dyDescent="0.25">
      <c r="A8" s="3" t="s">
        <v>20</v>
      </c>
      <c r="B8" s="3" t="s">
        <v>21</v>
      </c>
      <c r="C8" s="3" t="s">
        <v>22</v>
      </c>
      <c r="D8" s="5">
        <v>1</v>
      </c>
      <c r="E8" s="5">
        <v>0.5</v>
      </c>
      <c r="F8" s="6">
        <v>15</v>
      </c>
      <c r="G8" s="7">
        <f t="shared" ref="G8:G30" si="0">F8*E8/D8</f>
        <v>7.5</v>
      </c>
      <c r="H8" s="8">
        <v>7.0339999999999998</v>
      </c>
      <c r="I8" s="7">
        <f t="shared" ref="I8:I30" si="1">IF(H8="","",H8*D8/E8-H8)</f>
        <v>7.0339999999999998</v>
      </c>
      <c r="J8" s="8">
        <v>7.0970000000000004</v>
      </c>
      <c r="K8" s="7">
        <f t="shared" ref="K8:K30" si="2">IF(OR(H8="",J8=""),"",H8+J8)</f>
        <v>14.131</v>
      </c>
      <c r="L8" s="9">
        <f t="shared" ref="L8:L30" si="3">IF(K8="","",H8*D8/K8)</f>
        <v>0.49777085839643337</v>
      </c>
      <c r="M8" s="10">
        <f t="shared" ref="M8:M30" si="4">IF(L8="","",L8-E8)</f>
        <v>-2.2291416035666312E-3</v>
      </c>
      <c r="N8" s="3"/>
    </row>
    <row r="9" spans="1:14" x14ac:dyDescent="0.25">
      <c r="A9" s="3" t="s">
        <v>23</v>
      </c>
      <c r="B9" s="3" t="s">
        <v>21</v>
      </c>
      <c r="C9" s="3" t="s">
        <v>22</v>
      </c>
      <c r="D9" s="5">
        <v>1</v>
      </c>
      <c r="E9" s="5">
        <v>0.5</v>
      </c>
      <c r="F9" s="6">
        <v>15</v>
      </c>
      <c r="G9" s="7">
        <f t="shared" si="0"/>
        <v>7.5</v>
      </c>
      <c r="H9" s="8">
        <v>5.0110000000000001</v>
      </c>
      <c r="I9" s="7">
        <v>5.0350000000000001</v>
      </c>
      <c r="J9" s="8">
        <v>5.6680000000000001</v>
      </c>
      <c r="K9" s="7">
        <f t="shared" si="2"/>
        <v>10.679</v>
      </c>
      <c r="L9" s="9">
        <f t="shared" si="3"/>
        <v>0.46923869276149455</v>
      </c>
      <c r="M9" s="10">
        <f t="shared" si="4"/>
        <v>-3.0761307238505453E-2</v>
      </c>
      <c r="N9" s="3"/>
    </row>
    <row r="10" spans="1:14" x14ac:dyDescent="0.25">
      <c r="A10" s="3" t="s">
        <v>24</v>
      </c>
      <c r="B10" s="3" t="s">
        <v>21</v>
      </c>
      <c r="C10" s="3" t="s">
        <v>22</v>
      </c>
      <c r="D10" s="5">
        <v>1</v>
      </c>
      <c r="E10" s="5">
        <v>0.2</v>
      </c>
      <c r="F10" s="6">
        <v>15</v>
      </c>
      <c r="G10" s="7">
        <f t="shared" si="0"/>
        <v>3</v>
      </c>
      <c r="H10" s="8">
        <v>3.0209999999999999</v>
      </c>
      <c r="I10" s="7">
        <f t="shared" si="1"/>
        <v>12.084</v>
      </c>
      <c r="J10" s="8">
        <v>12.122</v>
      </c>
      <c r="K10" s="7">
        <f t="shared" si="2"/>
        <v>15.143000000000001</v>
      </c>
      <c r="L10" s="9">
        <f t="shared" si="3"/>
        <v>0.19949811794228356</v>
      </c>
      <c r="M10" s="10">
        <f t="shared" si="4"/>
        <v>-5.0188205771645178E-4</v>
      </c>
      <c r="N10" s="3" t="s">
        <v>25</v>
      </c>
    </row>
    <row r="11" spans="1:14" x14ac:dyDescent="0.25">
      <c r="A11" s="3" t="s">
        <v>26</v>
      </c>
      <c r="B11" s="3" t="s">
        <v>21</v>
      </c>
      <c r="C11" s="3" t="s">
        <v>22</v>
      </c>
      <c r="D11" s="5">
        <v>1</v>
      </c>
      <c r="E11" s="5">
        <v>0.2</v>
      </c>
      <c r="F11" s="6">
        <v>15</v>
      </c>
      <c r="G11" s="7">
        <f t="shared" si="0"/>
        <v>3</v>
      </c>
      <c r="H11" s="8">
        <v>3.6280000000000001</v>
      </c>
      <c r="I11" s="7">
        <f t="shared" si="1"/>
        <v>14.512</v>
      </c>
      <c r="J11" s="8">
        <v>14.515000000000001</v>
      </c>
      <c r="K11" s="7">
        <f t="shared" si="2"/>
        <v>18.143000000000001</v>
      </c>
      <c r="L11" s="9">
        <f t="shared" si="3"/>
        <v>0.19996692939425673</v>
      </c>
      <c r="M11" s="10">
        <f t="shared" si="4"/>
        <v>-3.307060574328502E-5</v>
      </c>
      <c r="N11" s="3"/>
    </row>
    <row r="12" spans="1:14" x14ac:dyDescent="0.25">
      <c r="A12" s="3" t="s">
        <v>27</v>
      </c>
      <c r="B12" s="3" t="s">
        <v>21</v>
      </c>
      <c r="C12" s="3" t="s">
        <v>22</v>
      </c>
      <c r="D12" s="5">
        <v>1</v>
      </c>
      <c r="E12" s="5">
        <v>0.1</v>
      </c>
      <c r="F12" s="6">
        <v>15</v>
      </c>
      <c r="G12" s="7">
        <f t="shared" si="0"/>
        <v>1.5</v>
      </c>
      <c r="H12" s="8">
        <v>1.7070000000000001</v>
      </c>
      <c r="I12" s="7">
        <f t="shared" si="1"/>
        <v>15.363</v>
      </c>
      <c r="J12" s="8">
        <v>15.374000000000001</v>
      </c>
      <c r="K12" s="7">
        <f t="shared" si="2"/>
        <v>17.081</v>
      </c>
      <c r="L12" s="9">
        <f t="shared" si="3"/>
        <v>9.9935600960131141E-2</v>
      </c>
      <c r="M12" s="10">
        <f t="shared" si="4"/>
        <v>-6.439903986886486E-5</v>
      </c>
      <c r="N12" s="3" t="s">
        <v>28</v>
      </c>
    </row>
    <row r="13" spans="1:14" x14ac:dyDescent="0.25">
      <c r="A13" s="3" t="s">
        <v>29</v>
      </c>
      <c r="B13" s="3" t="s">
        <v>21</v>
      </c>
      <c r="C13" s="3" t="s">
        <v>22</v>
      </c>
      <c r="D13" s="5">
        <v>1</v>
      </c>
      <c r="E13" s="5">
        <v>0.1</v>
      </c>
      <c r="F13" s="6">
        <v>15</v>
      </c>
      <c r="G13" s="7">
        <f t="shared" si="0"/>
        <v>1.5</v>
      </c>
      <c r="H13" s="8">
        <v>1.6120000000000001</v>
      </c>
      <c r="I13" s="7">
        <f t="shared" si="1"/>
        <v>14.508000000000001</v>
      </c>
      <c r="J13" s="8">
        <v>14.507</v>
      </c>
      <c r="K13" s="7">
        <f t="shared" si="2"/>
        <v>16.119</v>
      </c>
      <c r="L13" s="9">
        <f t="shared" si="3"/>
        <v>0.10000620385880019</v>
      </c>
      <c r="M13" s="10">
        <f t="shared" si="4"/>
        <v>6.2038588001800399E-6</v>
      </c>
      <c r="N13" s="3"/>
    </row>
    <row r="14" spans="1:14" x14ac:dyDescent="0.25">
      <c r="A14" s="3" t="s">
        <v>30</v>
      </c>
      <c r="B14" s="3" t="s">
        <v>21</v>
      </c>
      <c r="C14" s="3" t="s">
        <v>22</v>
      </c>
      <c r="D14" s="5">
        <v>1</v>
      </c>
      <c r="E14" s="5">
        <v>0.1</v>
      </c>
      <c r="F14" s="6">
        <v>15</v>
      </c>
      <c r="G14" s="7">
        <f t="shared" si="0"/>
        <v>1.5</v>
      </c>
      <c r="H14" s="8">
        <v>1.6279999999999999</v>
      </c>
      <c r="I14" s="7">
        <f t="shared" si="1"/>
        <v>14.651999999999997</v>
      </c>
      <c r="J14" s="8">
        <v>14.686</v>
      </c>
      <c r="K14" s="7">
        <f t="shared" si="2"/>
        <v>16.314</v>
      </c>
      <c r="L14" s="9">
        <f t="shared" si="3"/>
        <v>9.9791590045359813E-2</v>
      </c>
      <c r="M14" s="10">
        <f t="shared" si="4"/>
        <v>-2.0840995464019296E-4</v>
      </c>
      <c r="N14" s="3"/>
    </row>
    <row r="15" spans="1:14" x14ac:dyDescent="0.25">
      <c r="A15" s="3" t="s">
        <v>31</v>
      </c>
      <c r="B15" s="3" t="s">
        <v>21</v>
      </c>
      <c r="C15" s="3" t="s">
        <v>22</v>
      </c>
      <c r="D15" s="5">
        <v>1</v>
      </c>
      <c r="E15" s="5">
        <v>0.1</v>
      </c>
      <c r="F15" s="6">
        <v>15</v>
      </c>
      <c r="G15" s="7">
        <f t="shared" si="0"/>
        <v>1.5</v>
      </c>
      <c r="H15" s="8">
        <v>1.51</v>
      </c>
      <c r="I15" s="7">
        <f>IF(H15="","",H15*D15/E15-H15)</f>
        <v>13.59</v>
      </c>
      <c r="J15" s="8">
        <v>13.6</v>
      </c>
      <c r="K15" s="7">
        <f>IF(OR(H15="",J15=""),"",H15+J15)</f>
        <v>15.11</v>
      </c>
      <c r="L15" s="9">
        <f>IF(K15="","",H15*D15/K15)</f>
        <v>9.9933818663136997E-2</v>
      </c>
      <c r="M15" s="10">
        <f t="shared" si="4"/>
        <v>-6.61813368630082E-5</v>
      </c>
      <c r="N15" s="3" t="s">
        <v>32</v>
      </c>
    </row>
    <row r="16" spans="1:14" x14ac:dyDescent="0.25">
      <c r="A16" s="3" t="s">
        <v>33</v>
      </c>
      <c r="B16" s="3" t="s">
        <v>21</v>
      </c>
      <c r="C16" s="3" t="s">
        <v>22</v>
      </c>
      <c r="D16" s="5">
        <v>1</v>
      </c>
      <c r="E16" s="5">
        <v>0.1</v>
      </c>
      <c r="F16" s="6">
        <v>15</v>
      </c>
      <c r="G16" s="7">
        <f t="shared" si="0"/>
        <v>1.5</v>
      </c>
      <c r="H16" s="8">
        <v>1.5569999999999999</v>
      </c>
      <c r="I16" s="19">
        <f>IF(H16="","",H16*D16/E16-H16)</f>
        <v>14.012999999999998</v>
      </c>
      <c r="J16" s="8">
        <v>14.016</v>
      </c>
      <c r="K16" s="7">
        <f>IF(OR(H16="",J16=""),"",H16+J16)</f>
        <v>15.573</v>
      </c>
      <c r="L16" s="9">
        <f>IF(K16="","",H16*D16/K16)</f>
        <v>9.9980735889038719E-2</v>
      </c>
      <c r="M16" s="10">
        <f t="shared" si="4"/>
        <v>-1.9264110961286773E-5</v>
      </c>
      <c r="N16" s="3" t="s">
        <v>32</v>
      </c>
    </row>
    <row r="17" spans="1:14" x14ac:dyDescent="0.25">
      <c r="A17" s="3" t="s">
        <v>34</v>
      </c>
      <c r="B17" s="3" t="s">
        <v>21</v>
      </c>
      <c r="C17" s="3" t="s">
        <v>22</v>
      </c>
      <c r="D17" s="5">
        <v>1</v>
      </c>
      <c r="E17" s="5">
        <v>0.1</v>
      </c>
      <c r="F17" s="6">
        <v>15</v>
      </c>
      <c r="G17" s="7">
        <f t="shared" si="0"/>
        <v>1.5</v>
      </c>
      <c r="H17" s="8">
        <v>1.5980000000000001</v>
      </c>
      <c r="I17" s="7">
        <f t="shared" si="1"/>
        <v>14.382</v>
      </c>
      <c r="J17" s="8">
        <v>14.385</v>
      </c>
      <c r="K17" s="7">
        <f t="shared" si="2"/>
        <v>15.983000000000001</v>
      </c>
      <c r="L17" s="9">
        <f t="shared" si="3"/>
        <v>9.9981230056935502E-2</v>
      </c>
      <c r="M17" s="10">
        <f t="shared" si="4"/>
        <v>-1.8769943064503303E-5</v>
      </c>
      <c r="N17" s="3" t="s">
        <v>35</v>
      </c>
    </row>
    <row r="18" spans="1:14" x14ac:dyDescent="0.25">
      <c r="A18" s="3" t="s">
        <v>36</v>
      </c>
      <c r="B18" s="3" t="s">
        <v>37</v>
      </c>
      <c r="C18" s="3" t="s">
        <v>38</v>
      </c>
      <c r="D18" s="5">
        <v>1</v>
      </c>
      <c r="E18" s="5">
        <v>0.01</v>
      </c>
      <c r="F18" s="6">
        <v>9</v>
      </c>
      <c r="G18" s="7">
        <f t="shared" si="0"/>
        <v>0.09</v>
      </c>
      <c r="H18" s="8">
        <v>0.10299999999999999</v>
      </c>
      <c r="I18" s="7">
        <f t="shared" si="1"/>
        <v>10.196999999999999</v>
      </c>
      <c r="J18" s="8">
        <v>10.252000000000001</v>
      </c>
      <c r="K18" s="7">
        <f t="shared" si="2"/>
        <v>10.355</v>
      </c>
      <c r="L18" s="9">
        <f t="shared" si="3"/>
        <v>9.9468855625301777E-3</v>
      </c>
      <c r="M18" s="10">
        <f t="shared" si="4"/>
        <v>-5.3114437469822459E-5</v>
      </c>
      <c r="N18" s="3" t="s">
        <v>32</v>
      </c>
    </row>
    <row r="19" spans="1:14" x14ac:dyDescent="0.25">
      <c r="A19" s="3" t="s">
        <v>39</v>
      </c>
      <c r="B19" s="3" t="s">
        <v>40</v>
      </c>
      <c r="C19" s="3" t="s">
        <v>22</v>
      </c>
      <c r="D19" s="5">
        <v>0.01</v>
      </c>
      <c r="E19" s="5">
        <v>1E-3</v>
      </c>
      <c r="F19" s="6">
        <v>3.5</v>
      </c>
      <c r="G19" s="7">
        <f t="shared" si="0"/>
        <v>0.35</v>
      </c>
      <c r="H19" s="8">
        <v>0.374</v>
      </c>
      <c r="I19" s="7">
        <f t="shared" si="1"/>
        <v>3.3660000000000001</v>
      </c>
      <c r="J19" s="8">
        <v>3.3740000000000001</v>
      </c>
      <c r="K19" s="7">
        <f t="shared" si="2"/>
        <v>3.7480000000000002</v>
      </c>
      <c r="L19" s="9">
        <f t="shared" si="3"/>
        <v>9.9786552828175028E-4</v>
      </c>
      <c r="M19" s="10">
        <f t="shared" si="4"/>
        <v>-2.1344717182497381E-6</v>
      </c>
      <c r="N19" s="3" t="s">
        <v>41</v>
      </c>
    </row>
    <row r="20" spans="1:14" x14ac:dyDescent="0.25">
      <c r="A20" s="3" t="s">
        <v>42</v>
      </c>
      <c r="B20" s="3" t="s">
        <v>40</v>
      </c>
      <c r="C20" s="3" t="s">
        <v>22</v>
      </c>
      <c r="D20" s="5">
        <v>0.1</v>
      </c>
      <c r="E20" s="5">
        <v>1E-3</v>
      </c>
      <c r="F20" s="6">
        <v>3.5</v>
      </c>
      <c r="G20" s="7">
        <f t="shared" si="0"/>
        <v>3.4999999999999996E-2</v>
      </c>
      <c r="H20" s="8">
        <v>4.3999999999999997E-2</v>
      </c>
      <c r="I20" s="7">
        <f t="shared" si="1"/>
        <v>4.3560000000000008</v>
      </c>
      <c r="J20" s="8">
        <v>3.9529999999999998</v>
      </c>
      <c r="K20" s="7">
        <f t="shared" si="2"/>
        <v>3.9969999999999999</v>
      </c>
      <c r="L20" s="9">
        <f t="shared" si="3"/>
        <v>1.1008256192144108E-3</v>
      </c>
      <c r="M20" s="10">
        <f t="shared" si="4"/>
        <v>1.0082561921441078E-4</v>
      </c>
      <c r="N20" s="3" t="s">
        <v>43</v>
      </c>
    </row>
    <row r="21" spans="1:14" x14ac:dyDescent="0.25">
      <c r="A21" s="3" t="s">
        <v>44</v>
      </c>
      <c r="B21" s="3" t="s">
        <v>40</v>
      </c>
      <c r="C21" s="3" t="s">
        <v>22</v>
      </c>
      <c r="D21" s="5">
        <v>1</v>
      </c>
      <c r="E21" s="5">
        <v>0.01</v>
      </c>
      <c r="F21" s="6">
        <v>3.5</v>
      </c>
      <c r="G21" s="7">
        <f t="shared" si="0"/>
        <v>3.5000000000000003E-2</v>
      </c>
      <c r="H21" s="8">
        <v>0.111</v>
      </c>
      <c r="I21" s="7">
        <f t="shared" si="1"/>
        <v>10.988999999999999</v>
      </c>
      <c r="J21" s="8">
        <v>3.8660000000000001</v>
      </c>
      <c r="K21" s="7">
        <f t="shared" si="2"/>
        <v>3.9770000000000003</v>
      </c>
      <c r="L21" s="9">
        <f t="shared" si="3"/>
        <v>2.7910485290419913E-2</v>
      </c>
      <c r="M21" s="10">
        <f t="shared" si="4"/>
        <v>1.7910485290419914E-2</v>
      </c>
      <c r="N21" s="3" t="s">
        <v>45</v>
      </c>
    </row>
    <row r="22" spans="1:14" x14ac:dyDescent="0.25">
      <c r="A22" s="3" t="s">
        <v>46</v>
      </c>
      <c r="B22" s="3" t="s">
        <v>40</v>
      </c>
      <c r="C22" s="3" t="s">
        <v>38</v>
      </c>
      <c r="D22" s="5">
        <v>0.25</v>
      </c>
      <c r="E22" s="5">
        <v>0.1</v>
      </c>
      <c r="F22" s="6">
        <v>4.5</v>
      </c>
      <c r="G22" s="7">
        <f t="shared" si="0"/>
        <v>1.8</v>
      </c>
      <c r="H22" s="8">
        <v>1.8</v>
      </c>
      <c r="I22" s="7">
        <f t="shared" si="1"/>
        <v>2.7</v>
      </c>
      <c r="J22" s="8">
        <v>2.7050000000000001</v>
      </c>
      <c r="K22" s="7">
        <f t="shared" si="2"/>
        <v>4.5049999999999999</v>
      </c>
      <c r="L22" s="9">
        <f t="shared" si="3"/>
        <v>9.9889012208657049E-2</v>
      </c>
      <c r="M22" s="10">
        <f t="shared" si="4"/>
        <v>-1.1098779134295633E-4</v>
      </c>
      <c r="N22" s="3" t="s">
        <v>47</v>
      </c>
    </row>
    <row r="23" spans="1:14" x14ac:dyDescent="0.25">
      <c r="A23" s="3" t="s">
        <v>48</v>
      </c>
      <c r="B23" s="3" t="s">
        <v>40</v>
      </c>
      <c r="C23" s="3" t="s">
        <v>38</v>
      </c>
      <c r="D23" s="5">
        <v>0.5</v>
      </c>
      <c r="E23" s="5">
        <v>0.1</v>
      </c>
      <c r="F23" s="6">
        <v>4.5</v>
      </c>
      <c r="G23" s="7">
        <f t="shared" si="0"/>
        <v>0.9</v>
      </c>
      <c r="H23" s="8">
        <v>0.92500000000000004</v>
      </c>
      <c r="I23" s="7">
        <f t="shared" si="1"/>
        <v>3.7</v>
      </c>
      <c r="J23" s="8">
        <v>3.7679999999999998</v>
      </c>
      <c r="K23" s="7">
        <f t="shared" si="2"/>
        <v>4.6929999999999996</v>
      </c>
      <c r="L23" s="9">
        <f t="shared" si="3"/>
        <v>9.8551033454080561E-2</v>
      </c>
      <c r="M23" s="10">
        <f t="shared" si="4"/>
        <v>-1.4489665459194445E-3</v>
      </c>
      <c r="N23" s="3" t="s">
        <v>49</v>
      </c>
    </row>
    <row r="24" spans="1:14" x14ac:dyDescent="0.25">
      <c r="A24" s="3" t="s">
        <v>50</v>
      </c>
      <c r="B24" s="3" t="s">
        <v>40</v>
      </c>
      <c r="C24" s="3" t="s">
        <v>38</v>
      </c>
      <c r="D24" s="5">
        <v>1</v>
      </c>
      <c r="E24" s="5">
        <v>0.1</v>
      </c>
      <c r="F24" s="6">
        <v>4.5</v>
      </c>
      <c r="G24" s="7">
        <f t="shared" si="0"/>
        <v>0.45</v>
      </c>
      <c r="H24" s="8">
        <v>0.46</v>
      </c>
      <c r="I24" s="7">
        <f t="shared" si="1"/>
        <v>4.1399999999999997</v>
      </c>
      <c r="J24" s="8">
        <v>4.1580000000000004</v>
      </c>
      <c r="K24" s="7">
        <f t="shared" si="2"/>
        <v>4.6180000000000003</v>
      </c>
      <c r="L24" s="9">
        <f t="shared" si="3"/>
        <v>9.9610220874837591E-2</v>
      </c>
      <c r="M24" s="10">
        <f t="shared" si="4"/>
        <v>-3.8977912516241497E-4</v>
      </c>
      <c r="N24" s="3"/>
    </row>
    <row r="25" spans="1:14" x14ac:dyDescent="0.25">
      <c r="A25" s="3" t="s">
        <v>51</v>
      </c>
      <c r="B25" s="3" t="s">
        <v>40</v>
      </c>
      <c r="C25" s="3" t="s">
        <v>38</v>
      </c>
      <c r="D25" s="5">
        <v>1</v>
      </c>
      <c r="E25" s="5">
        <v>0.1</v>
      </c>
      <c r="F25" s="6">
        <v>4.5</v>
      </c>
      <c r="G25" s="7">
        <f t="shared" si="0"/>
        <v>0.45</v>
      </c>
      <c r="H25" s="8">
        <v>0.46100000000000002</v>
      </c>
      <c r="I25" s="7">
        <f t="shared" si="1"/>
        <v>4.149</v>
      </c>
      <c r="J25" s="8">
        <v>4.1550000000000002</v>
      </c>
      <c r="K25" s="7">
        <f t="shared" si="2"/>
        <v>4.6160000000000005</v>
      </c>
      <c r="L25" s="9">
        <f t="shared" si="3"/>
        <v>9.987001733102252E-2</v>
      </c>
      <c r="M25" s="10">
        <f t="shared" si="4"/>
        <v>-1.2998266897748523E-4</v>
      </c>
      <c r="N25" s="3"/>
    </row>
    <row r="26" spans="1:14" x14ac:dyDescent="0.25">
      <c r="A26" s="3" t="s">
        <v>52</v>
      </c>
      <c r="B26" s="3" t="s">
        <v>40</v>
      </c>
      <c r="C26" s="3" t="s">
        <v>38</v>
      </c>
      <c r="D26" s="5">
        <v>1</v>
      </c>
      <c r="E26" s="5">
        <v>0.1</v>
      </c>
      <c r="F26" s="6">
        <v>4.5</v>
      </c>
      <c r="G26" s="7">
        <f t="shared" si="0"/>
        <v>0.45</v>
      </c>
      <c r="H26" s="8">
        <v>0.45600000000000002</v>
      </c>
      <c r="I26" s="7">
        <f t="shared" si="1"/>
        <v>4.1039999999999992</v>
      </c>
      <c r="J26" s="8">
        <v>4.1130000000000004</v>
      </c>
      <c r="K26" s="7">
        <f t="shared" si="2"/>
        <v>4.5690000000000008</v>
      </c>
      <c r="L26" s="9">
        <f t="shared" si="3"/>
        <v>9.9803020354563343E-2</v>
      </c>
      <c r="M26" s="10">
        <f t="shared" si="4"/>
        <v>-1.9697964543666235E-4</v>
      </c>
      <c r="N26" s="3"/>
    </row>
    <row r="27" spans="1:14" x14ac:dyDescent="0.25">
      <c r="A27" s="3" t="s">
        <v>53</v>
      </c>
      <c r="B27" s="3" t="s">
        <v>40</v>
      </c>
      <c r="C27" s="3" t="s">
        <v>22</v>
      </c>
      <c r="D27" s="5">
        <v>1</v>
      </c>
      <c r="E27" s="5">
        <v>0.1</v>
      </c>
      <c r="F27" s="6">
        <v>3.5</v>
      </c>
      <c r="G27" s="7">
        <f t="shared" si="0"/>
        <v>0.35000000000000003</v>
      </c>
      <c r="H27" s="8">
        <v>0.35</v>
      </c>
      <c r="I27" s="7">
        <f t="shared" si="1"/>
        <v>3.1499999999999995</v>
      </c>
      <c r="J27" s="8">
        <v>3.1640000000000001</v>
      </c>
      <c r="K27" s="7">
        <f t="shared" si="2"/>
        <v>3.5140000000000002</v>
      </c>
      <c r="L27" s="9">
        <f t="shared" si="3"/>
        <v>9.9601593625497989E-2</v>
      </c>
      <c r="M27" s="10">
        <f t="shared" si="4"/>
        <v>-3.9840637450201666E-4</v>
      </c>
      <c r="N27" s="3" t="s">
        <v>54</v>
      </c>
    </row>
    <row r="28" spans="1:14" x14ac:dyDescent="0.25">
      <c r="A28" s="3" t="s">
        <v>55</v>
      </c>
      <c r="B28" s="3" t="s">
        <v>40</v>
      </c>
      <c r="C28" s="3" t="s">
        <v>22</v>
      </c>
      <c r="D28" s="5">
        <v>1</v>
      </c>
      <c r="E28" s="5">
        <v>0.1</v>
      </c>
      <c r="F28" s="6">
        <v>3.5</v>
      </c>
      <c r="G28" s="7">
        <f t="shared" si="0"/>
        <v>0.35000000000000003</v>
      </c>
      <c r="H28" s="8">
        <v>0.35</v>
      </c>
      <c r="I28" s="7">
        <f t="shared" si="1"/>
        <v>3.1499999999999995</v>
      </c>
      <c r="J28" s="8">
        <v>3.1589999999999998</v>
      </c>
      <c r="K28" s="7">
        <f t="shared" si="2"/>
        <v>3.5089999999999999</v>
      </c>
      <c r="L28" s="9">
        <f t="shared" si="3"/>
        <v>9.9743516671416357E-2</v>
      </c>
      <c r="M28" s="10">
        <f t="shared" si="4"/>
        <v>-2.564833285836482E-4</v>
      </c>
      <c r="N28" s="3"/>
    </row>
    <row r="29" spans="1:14" x14ac:dyDescent="0.25">
      <c r="A29" s="3" t="s">
        <v>56</v>
      </c>
      <c r="B29" s="3" t="s">
        <v>40</v>
      </c>
      <c r="C29" s="3" t="s">
        <v>22</v>
      </c>
      <c r="D29" s="5">
        <v>1</v>
      </c>
      <c r="E29" s="5">
        <v>0.1</v>
      </c>
      <c r="F29" s="6">
        <v>3.5</v>
      </c>
      <c r="G29" s="7">
        <f t="shared" si="0"/>
        <v>0.35000000000000003</v>
      </c>
      <c r="H29" s="8">
        <v>0.38100000000000001</v>
      </c>
      <c r="I29" s="7">
        <f t="shared" si="1"/>
        <v>3.4290000000000003</v>
      </c>
      <c r="J29" s="8">
        <v>3.4950000000000001</v>
      </c>
      <c r="K29" s="7">
        <f t="shared" si="2"/>
        <v>3.8760000000000003</v>
      </c>
      <c r="L29" s="9">
        <f t="shared" si="3"/>
        <v>9.8297213622291019E-2</v>
      </c>
      <c r="M29" s="10">
        <f t="shared" si="4"/>
        <v>-1.7027863777089869E-3</v>
      </c>
      <c r="N29" s="3"/>
    </row>
    <row r="30" spans="1:14" x14ac:dyDescent="0.25">
      <c r="A30" s="3" t="s">
        <v>57</v>
      </c>
      <c r="B30" s="3" t="s">
        <v>40</v>
      </c>
      <c r="C30" s="3" t="s">
        <v>22</v>
      </c>
      <c r="D30" s="5">
        <v>1</v>
      </c>
      <c r="E30" s="5">
        <v>0.1</v>
      </c>
      <c r="F30" s="6">
        <v>3.5</v>
      </c>
      <c r="G30" s="7">
        <f t="shared" si="0"/>
        <v>0.35000000000000003</v>
      </c>
      <c r="H30" s="8">
        <v>0.79700000000000004</v>
      </c>
      <c r="I30" s="7">
        <f t="shared" si="1"/>
        <v>7.173</v>
      </c>
      <c r="J30" s="8">
        <v>3.2890000000000001</v>
      </c>
      <c r="K30" s="7">
        <f t="shared" si="2"/>
        <v>4.0860000000000003</v>
      </c>
      <c r="L30" s="9">
        <f t="shared" si="3"/>
        <v>0.19505628976994616</v>
      </c>
      <c r="M30" s="10">
        <f t="shared" si="4"/>
        <v>9.5056289769946151E-2</v>
      </c>
      <c r="N30" s="3" t="s">
        <v>58</v>
      </c>
    </row>
    <row r="32" spans="1:14" x14ac:dyDescent="0.25">
      <c r="A32" s="2" t="s">
        <v>59</v>
      </c>
    </row>
    <row r="33" spans="1:14" x14ac:dyDescent="0.25">
      <c r="A33" s="11" t="s">
        <v>60</v>
      </c>
      <c r="B33" s="11" t="s">
        <v>21</v>
      </c>
      <c r="C33" s="11" t="s">
        <v>22</v>
      </c>
      <c r="D33" s="12">
        <v>1</v>
      </c>
      <c r="E33" s="12">
        <v>0.1</v>
      </c>
      <c r="F33" s="13">
        <v>15</v>
      </c>
      <c r="G33" s="13">
        <f>F33*E33/D33</f>
        <v>1.5</v>
      </c>
      <c r="H33" s="14">
        <v>1.512</v>
      </c>
      <c r="I33" s="13">
        <f>IF(H33="","",H33*D33/E33-H33)</f>
        <v>13.607999999999999</v>
      </c>
      <c r="J33" s="14">
        <v>13.6</v>
      </c>
      <c r="K33" s="13">
        <f>IF(OR(H33="",J33=""),"",H33+J33)</f>
        <v>15.112</v>
      </c>
      <c r="L33" s="15">
        <f>IF(K33="","",H33*D33/K33)</f>
        <v>0.10005293806246691</v>
      </c>
      <c r="M33" s="16">
        <f>IF(L33="","",L33-E33)</f>
        <v>5.2938062466909019E-5</v>
      </c>
      <c r="N33" s="11" t="s">
        <v>61</v>
      </c>
    </row>
    <row r="35" spans="1:14" x14ac:dyDescent="0.25">
      <c r="A35" s="2" t="s">
        <v>62</v>
      </c>
    </row>
    <row r="36" spans="1:14" x14ac:dyDescent="0.25">
      <c r="A36" s="3" t="s">
        <v>22</v>
      </c>
      <c r="C36" s="17">
        <f>SUMIF($C$8:$C$30,"Alcohol 96º",$F$8:$F$30)-SUMIF($C$8:$C$30,"Alcohol 96º",$G$8:$G$30)</f>
        <v>142.68</v>
      </c>
    </row>
    <row r="37" spans="1:14" x14ac:dyDescent="0.25">
      <c r="A37" s="3" t="s">
        <v>38</v>
      </c>
      <c r="C37" s="17">
        <f>SUMIF($C$8:$C$30,"DPG",$F$8:$F$30)-SUMIF($C$8:$C$30,"DPG",$G$8:$G$30)</f>
        <v>27.36</v>
      </c>
    </row>
    <row r="39" spans="1:14" x14ac:dyDescent="0.25">
      <c r="A39" s="18" t="s">
        <v>63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</cp:lastModifiedBy>
  <cp:revision>0</cp:revision>
  <dcterms:created xsi:type="dcterms:W3CDTF">2026-10-26T20:36:41Z</dcterms:created>
  <dcterms:modified xsi:type="dcterms:W3CDTF">2026-10-27T01:23:57Z</dcterms:modified>
  <dc:language>en-US</dc:language>
</cp:coreProperties>
</file>