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43F619F5-2061-4CB4-94E8-DDBD24EC358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Dilucion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L20" i="1"/>
  <c r="M20" i="1" s="1"/>
  <c r="K20" i="1"/>
  <c r="I20" i="1"/>
  <c r="G20" i="1"/>
  <c r="K16" i="1"/>
  <c r="L16" i="1" s="1"/>
  <c r="M16" i="1" s="1"/>
  <c r="I16" i="1"/>
  <c r="G16" i="1"/>
  <c r="K15" i="1"/>
  <c r="L15" i="1" s="1"/>
  <c r="M15" i="1" s="1"/>
  <c r="I15" i="1"/>
  <c r="G15" i="1"/>
  <c r="K14" i="1"/>
  <c r="L14" i="1" s="1"/>
  <c r="M14" i="1" s="1"/>
  <c r="I14" i="1"/>
  <c r="G14" i="1"/>
  <c r="K13" i="1"/>
  <c r="L13" i="1" s="1"/>
  <c r="M13" i="1" s="1"/>
  <c r="I13" i="1"/>
  <c r="G13" i="1"/>
  <c r="K12" i="1"/>
  <c r="L12" i="1" s="1"/>
  <c r="M12" i="1" s="1"/>
  <c r="I12" i="1"/>
  <c r="G12" i="1"/>
  <c r="K11" i="1"/>
  <c r="L11" i="1" s="1"/>
  <c r="M11" i="1" s="1"/>
  <c r="I11" i="1"/>
  <c r="G11" i="1"/>
  <c r="K10" i="1"/>
  <c r="L10" i="1" s="1"/>
  <c r="M10" i="1" s="1"/>
  <c r="I10" i="1"/>
  <c r="G10" i="1"/>
  <c r="K9" i="1"/>
  <c r="L9" i="1" s="1"/>
  <c r="M9" i="1" s="1"/>
  <c r="I9" i="1"/>
  <c r="G9" i="1"/>
  <c r="K8" i="1"/>
  <c r="L8" i="1" s="1"/>
  <c r="M8" i="1" s="1"/>
  <c r="I8" i="1"/>
  <c r="G8" i="1"/>
</calcChain>
</file>

<file path=xl/sharedStrings.xml><?xml version="1.0" encoding="utf-8"?>
<sst xmlns="http://schemas.openxmlformats.org/spreadsheetml/2006/main" count="64" uniqueCount="46">
  <si>
    <t>Diluciones de la tanda · 31-oct-2026 (sesión Decision)</t>
  </si>
  <si>
    <t>Cómo se usa:</t>
  </si>
  <si>
    <t>1. Pesa el material que dice «Material a pesar». Escribe lo que cayó de verdad en la columna amarilla «Material real».</t>
  </si>
  <si>
    <t>2. La hoja te dice cuánto diluyente añadir para llegar al % objetivo. Añádelo y escribe lo que cayó en «Diluyente real».</t>
  </si>
  <si>
    <t>3. «% exacto» es el que va a la app, en Diluciones. Todos los pesos en gramos, con 3 decimales (0,001 g = 1 mg).</t>
  </si>
  <si>
    <t>Si el material de partida ya viene diluido (columna D menor que 100 %), «material» es el peso de esa solución.</t>
  </si>
  <si>
    <t>Material</t>
  </si>
  <si>
    <t>Frasco</t>
  </si>
  <si>
    <t>Diluyente</t>
  </si>
  <si>
    <t>% del material de partida</t>
  </si>
  <si>
    <t>% objetivo</t>
  </si>
  <si>
    <t>Total objetivo (g)</t>
  </si>
  <si>
    <t>Material a pesar (g)</t>
  </si>
  <si>
    <t>Material real (g)</t>
  </si>
  <si>
    <t>Diluyente a añadir (g)</t>
  </si>
  <si>
    <t>Diluyente real (g)</t>
  </si>
  <si>
    <t>Total real (g)</t>
  </si>
  <si>
    <t>% exacto</t>
  </si>
  <si>
    <t>Diferencia con el objetivo</t>
  </si>
  <si>
    <t>Notas</t>
  </si>
  <si>
    <t>Iso E Super</t>
  </si>
  <si>
    <t>20 ml</t>
  </si>
  <si>
    <t>Alcohol 96º</t>
  </si>
  <si>
    <t>Flojo; se usa incluso puro</t>
  </si>
  <si>
    <t>Timbersilk</t>
  </si>
  <si>
    <t>Variante de Iso E Super (más Arborone e Iso gamma). Sin filtrar: puede enturbiar un poco (Fraterworks)</t>
  </si>
  <si>
    <t>Kephalis</t>
  </si>
  <si>
    <t>Flojo según Hekserij (dato del buscador)</t>
  </si>
  <si>
    <t>Vertenex (opcional)</t>
  </si>
  <si>
    <t>Habanolide</t>
  </si>
  <si>
    <t>Se enturbia en alcohol (Fraterworks): agitar antes de pesar; macerar y filtrar en frío</t>
  </si>
  <si>
    <t>Cedramber</t>
  </si>
  <si>
    <t>10 ml</t>
  </si>
  <si>
    <t>Javanol</t>
  </si>
  <si>
    <t>DPG</t>
  </si>
  <si>
    <t>Muy potente; trazas. Hekserij: «10 or 20% in DPG»</t>
  </si>
  <si>
    <t>Boisambrene Forte</t>
  </si>
  <si>
    <t>Fraterworks: «Common dilutions: 10%»</t>
  </si>
  <si>
    <t>Acetato de guayilo</t>
  </si>
  <si>
    <t>5 ml</t>
  </si>
  <si>
    <t>Viscoso (TGSC): entibiar si cuesta pipetear</t>
  </si>
  <si>
    <t>Ejemplo (no es un frasco real):</t>
  </si>
  <si>
    <t>Ejemplo: Polysantol</t>
  </si>
  <si>
    <t>Cayeron 1,512 g de material y 13,600 g de alcohol</t>
  </si>
  <si>
    <t>Diluyente que vas a necesitar (aprox., con los pesos objetivo)</t>
  </si>
  <si>
    <t>Supuestos: 20 ml con alcohol ≈ 15 g; 10 ml con alcohol ≈ 8 g; 10 ml con DPG ≈ 9 g; 5 ml con DPG ≈ 4,5 g. Diluciones acordadas en el hilo del 31-oct; el detalle está en tanda-2026-10-31.md.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</si>
</sst>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##%"/>
    <numFmt numFmtId="165" formatCode="0.000"/>
    <numFmt numFmtId="166" formatCode="0.0000%"/>
    <numFmt numFmtId="167" formatCode="\+0.0000%;\-0.0000%;0.0000%"/>
    <numFmt numFmtId="168" formatCode="0.0&quot; g&quot;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u/>
      <sz val="10"/>
      <color rgb="FF0000FF"/>
      <name val="Arial"/>
      <family val="2"/>
      <charset val="1"/>
    </font>
    <font>
      <i/>
      <sz val="10"/>
      <color rgb="FF777777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164" fontId="4" fillId="0" borderId="0" xfId="0" applyNumberFormat="1" applyFont="1"/>
    <xf numFmtId="165" fontId="4" fillId="0" borderId="0" xfId="0" applyNumberFormat="1" applyFont="1"/>
    <xf numFmtId="165" fontId="3" fillId="0" borderId="0" xfId="0" applyNumberFormat="1" applyFont="1"/>
    <xf numFmtId="165" fontId="4" fillId="3" borderId="0" xfId="0" applyNumberFormat="1" applyFont="1" applyFill="1"/>
    <xf numFmtId="166" fontId="3" fillId="0" borderId="0" xfId="0" applyNumberFormat="1" applyFont="1"/>
    <xf numFmtId="167" fontId="3" fillId="0" borderId="0" xfId="0" applyNumberFormat="1" applyFont="1"/>
    <xf numFmtId="165" fontId="5" fillId="3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65" fontId="6" fillId="3" borderId="0" xfId="0" applyNumberFormat="1" applyFont="1" applyFill="1"/>
    <xf numFmtId="166" fontId="6" fillId="0" borderId="0" xfId="0" applyNumberFormat="1" applyFont="1"/>
    <xf numFmtId="167" fontId="6" fillId="0" borderId="0" xfId="0" applyNumberFormat="1" applyFont="1"/>
    <xf numFmtId="168" fontId="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16" sqref="I16"/>
    </sheetView>
  </sheetViews>
  <sheetFormatPr baseColWidth="10" defaultColWidth="8.7109375" defaultRowHeight="15" x14ac:dyDescent="0.25"/>
  <cols>
    <col min="1" max="1" width="34" customWidth="1"/>
    <col min="2" max="2" width="8" customWidth="1"/>
    <col min="3" max="4" width="13" customWidth="1"/>
    <col min="5" max="5" width="11" customWidth="1"/>
    <col min="6" max="6" width="12" customWidth="1"/>
    <col min="7" max="10" width="13" customWidth="1"/>
    <col min="11" max="12" width="12" customWidth="1"/>
    <col min="13" max="13" width="13" customWidth="1"/>
    <col min="14" max="14" width="44" customWidth="1"/>
  </cols>
  <sheetData>
    <row r="1" spans="1:14" ht="15.75" customHeight="1" x14ac:dyDescent="0.25">
      <c r="A1" s="1" t="s">
        <v>0</v>
      </c>
    </row>
    <row r="2" spans="1:14" ht="15" customHeight="1" x14ac:dyDescent="0.25">
      <c r="A2" s="2" t="s">
        <v>1</v>
      </c>
    </row>
    <row r="3" spans="1:14" ht="15" customHeight="1" x14ac:dyDescent="0.25">
      <c r="A3" s="3" t="s">
        <v>2</v>
      </c>
    </row>
    <row r="4" spans="1:14" ht="15" customHeight="1" x14ac:dyDescent="0.25">
      <c r="A4" s="3" t="s">
        <v>3</v>
      </c>
    </row>
    <row r="5" spans="1:14" ht="15" customHeight="1" x14ac:dyDescent="0.25">
      <c r="A5" s="3" t="s">
        <v>4</v>
      </c>
    </row>
    <row r="6" spans="1:14" ht="15" customHeight="1" x14ac:dyDescent="0.25">
      <c r="A6" s="3" t="s">
        <v>5</v>
      </c>
    </row>
    <row r="7" spans="1:14" ht="42" customHeight="1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19</v>
      </c>
    </row>
    <row r="8" spans="1:14" ht="15" customHeight="1" x14ac:dyDescent="0.25">
      <c r="A8" s="3" t="s">
        <v>20</v>
      </c>
      <c r="B8" s="3" t="s">
        <v>21</v>
      </c>
      <c r="C8" s="3" t="s">
        <v>22</v>
      </c>
      <c r="D8" s="5">
        <v>1</v>
      </c>
      <c r="E8" s="5">
        <v>0.2</v>
      </c>
      <c r="F8" s="6">
        <v>15</v>
      </c>
      <c r="G8" s="7">
        <f t="shared" ref="G8:G16" si="0">F8*E8/D8</f>
        <v>3</v>
      </c>
      <c r="H8" s="8">
        <v>2.5150000000000001</v>
      </c>
      <c r="I8" s="7">
        <f t="shared" ref="I8:I16" si="1">IF(H8="","",H8*D8/E8-H8)</f>
        <v>10.059999999999999</v>
      </c>
      <c r="J8" s="8">
        <v>10.06</v>
      </c>
      <c r="K8" s="7">
        <f t="shared" ref="K8:K16" si="2">IF(OR(H8="",J8=""),"",H8+J8)</f>
        <v>12.575000000000001</v>
      </c>
      <c r="L8" s="9">
        <f t="shared" ref="L8:L16" si="3">IF(K8="","",H8*D8/K8)</f>
        <v>0.19999999999999998</v>
      </c>
      <c r="M8" s="10">
        <f t="shared" ref="M8:M16" si="4">IF(L8="","",L8-E8)</f>
        <v>-2.7755575615628914E-17</v>
      </c>
      <c r="N8" s="3" t="s">
        <v>23</v>
      </c>
    </row>
    <row r="9" spans="1:14" ht="15" customHeight="1" x14ac:dyDescent="0.25">
      <c r="A9" s="3" t="s">
        <v>24</v>
      </c>
      <c r="B9" s="3" t="s">
        <v>21</v>
      </c>
      <c r="C9" s="3" t="s">
        <v>22</v>
      </c>
      <c r="D9" s="5">
        <v>1</v>
      </c>
      <c r="E9" s="5">
        <v>0.2</v>
      </c>
      <c r="F9" s="6">
        <v>15</v>
      </c>
      <c r="G9" s="7">
        <f t="shared" si="0"/>
        <v>3</v>
      </c>
      <c r="H9" s="8">
        <v>3</v>
      </c>
      <c r="I9" s="7">
        <f t="shared" si="1"/>
        <v>12</v>
      </c>
      <c r="J9" s="8">
        <v>12.208</v>
      </c>
      <c r="K9" s="7">
        <f t="shared" si="2"/>
        <v>15.208</v>
      </c>
      <c r="L9" s="9">
        <f t="shared" si="3"/>
        <v>0.19726459758022094</v>
      </c>
      <c r="M9" s="10">
        <f t="shared" si="4"/>
        <v>-2.7354024197790705E-3</v>
      </c>
      <c r="N9" s="3" t="s">
        <v>25</v>
      </c>
    </row>
    <row r="10" spans="1:14" ht="15" customHeight="1" x14ac:dyDescent="0.25">
      <c r="A10" s="3" t="s">
        <v>26</v>
      </c>
      <c r="B10" s="3" t="s">
        <v>21</v>
      </c>
      <c r="C10" s="3" t="s">
        <v>22</v>
      </c>
      <c r="D10" s="5">
        <v>1</v>
      </c>
      <c r="E10" s="5">
        <v>0.2</v>
      </c>
      <c r="F10" s="6">
        <v>15</v>
      </c>
      <c r="G10" s="7">
        <f t="shared" si="0"/>
        <v>3</v>
      </c>
      <c r="H10" s="8">
        <v>3.0270000000000001</v>
      </c>
      <c r="I10" s="7">
        <f t="shared" si="1"/>
        <v>12.108000000000001</v>
      </c>
      <c r="J10" s="8">
        <v>12.196</v>
      </c>
      <c r="K10" s="7">
        <f t="shared" si="2"/>
        <v>15.222999999999999</v>
      </c>
      <c r="L10" s="9">
        <f t="shared" si="3"/>
        <v>0.19884385469355584</v>
      </c>
      <c r="M10" s="10">
        <f t="shared" si="4"/>
        <v>-1.1561453064441729E-3</v>
      </c>
      <c r="N10" s="3" t="s">
        <v>27</v>
      </c>
    </row>
    <row r="11" spans="1:14" ht="15" customHeight="1" x14ac:dyDescent="0.25">
      <c r="A11" s="3" t="s">
        <v>28</v>
      </c>
      <c r="B11" s="3" t="s">
        <v>21</v>
      </c>
      <c r="C11" s="3" t="s">
        <v>22</v>
      </c>
      <c r="D11" s="5">
        <v>1</v>
      </c>
      <c r="E11" s="5">
        <v>0.2</v>
      </c>
      <c r="F11" s="6">
        <v>15</v>
      </c>
      <c r="G11" s="7">
        <f t="shared" si="0"/>
        <v>3</v>
      </c>
      <c r="H11" s="11">
        <v>3.0209999999999999</v>
      </c>
      <c r="I11" s="7">
        <f t="shared" si="1"/>
        <v>12.084</v>
      </c>
      <c r="J11" s="8">
        <v>12.114000000000001</v>
      </c>
      <c r="K11" s="7">
        <f t="shared" si="2"/>
        <v>15.135000000000002</v>
      </c>
      <c r="L11" s="9">
        <f t="shared" si="3"/>
        <v>0.199603567888999</v>
      </c>
      <c r="M11" s="10">
        <f t="shared" si="4"/>
        <v>-3.9643211100101605E-4</v>
      </c>
      <c r="N11" s="3" t="s">
        <v>27</v>
      </c>
    </row>
    <row r="12" spans="1:14" ht="15" customHeight="1" x14ac:dyDescent="0.25">
      <c r="A12" s="3" t="s">
        <v>29</v>
      </c>
      <c r="B12" s="3" t="s">
        <v>21</v>
      </c>
      <c r="C12" s="3" t="s">
        <v>22</v>
      </c>
      <c r="D12" s="5">
        <v>1</v>
      </c>
      <c r="E12" s="5">
        <v>0.1</v>
      </c>
      <c r="F12" s="6">
        <v>15</v>
      </c>
      <c r="G12" s="7">
        <f t="shared" si="0"/>
        <v>1.5</v>
      </c>
      <c r="H12" s="8">
        <v>1.5049999999999999</v>
      </c>
      <c r="I12" s="7">
        <f t="shared" si="1"/>
        <v>13.544999999999998</v>
      </c>
      <c r="J12" s="8">
        <v>13.6</v>
      </c>
      <c r="K12" s="7">
        <f t="shared" si="2"/>
        <v>15.105</v>
      </c>
      <c r="L12" s="9">
        <f t="shared" si="3"/>
        <v>9.9635882158225747E-2</v>
      </c>
      <c r="M12" s="10">
        <f t="shared" si="4"/>
        <v>-3.6411784177425854E-4</v>
      </c>
      <c r="N12" s="3" t="s">
        <v>30</v>
      </c>
    </row>
    <row r="13" spans="1:14" ht="15" customHeight="1" x14ac:dyDescent="0.25">
      <c r="A13" s="3" t="s">
        <v>31</v>
      </c>
      <c r="B13" s="3" t="s">
        <v>32</v>
      </c>
      <c r="C13" s="3" t="s">
        <v>22</v>
      </c>
      <c r="D13" s="5">
        <v>1</v>
      </c>
      <c r="E13" s="5">
        <v>0.1</v>
      </c>
      <c r="F13" s="6">
        <v>8</v>
      </c>
      <c r="G13" s="7">
        <f t="shared" si="0"/>
        <v>0.8</v>
      </c>
      <c r="H13" s="8">
        <v>0.80400000000000005</v>
      </c>
      <c r="I13" s="7">
        <f t="shared" si="1"/>
        <v>7.2359999999999989</v>
      </c>
      <c r="J13" s="8">
        <v>7.2169999999999996</v>
      </c>
      <c r="K13" s="7">
        <f t="shared" si="2"/>
        <v>8.020999999999999</v>
      </c>
      <c r="L13" s="9">
        <f t="shared" si="3"/>
        <v>0.10023687819473882</v>
      </c>
      <c r="M13" s="10">
        <f t="shared" si="4"/>
        <v>2.3687819473881822E-4</v>
      </c>
      <c r="N13" s="3"/>
    </row>
    <row r="14" spans="1:14" ht="15" customHeight="1" x14ac:dyDescent="0.25">
      <c r="A14" s="3" t="s">
        <v>33</v>
      </c>
      <c r="B14" s="3" t="s">
        <v>32</v>
      </c>
      <c r="C14" s="3" t="s">
        <v>22</v>
      </c>
      <c r="D14" s="5">
        <v>1</v>
      </c>
      <c r="E14" s="5">
        <v>0.1</v>
      </c>
      <c r="F14" s="6">
        <v>9</v>
      </c>
      <c r="G14" s="7">
        <f t="shared" si="0"/>
        <v>0.9</v>
      </c>
      <c r="H14" s="8">
        <v>0.93700000000000006</v>
      </c>
      <c r="I14" s="7">
        <f t="shared" si="1"/>
        <v>8.4329999999999998</v>
      </c>
      <c r="J14" s="8">
        <v>8.4670000000000005</v>
      </c>
      <c r="K14" s="7">
        <f t="shared" si="2"/>
        <v>9.4039999999999999</v>
      </c>
      <c r="L14" s="9">
        <f t="shared" si="3"/>
        <v>9.9638451722671217E-2</v>
      </c>
      <c r="M14" s="10">
        <f t="shared" si="4"/>
        <v>-3.6154827732878814E-4</v>
      </c>
      <c r="N14" s="3" t="s">
        <v>35</v>
      </c>
    </row>
    <row r="15" spans="1:14" ht="15" customHeight="1" x14ac:dyDescent="0.25">
      <c r="A15" s="3" t="s">
        <v>36</v>
      </c>
      <c r="B15" s="3" t="s">
        <v>32</v>
      </c>
      <c r="C15" s="3" t="s">
        <v>34</v>
      </c>
      <c r="D15" s="5">
        <v>1</v>
      </c>
      <c r="E15" s="5">
        <v>0.1</v>
      </c>
      <c r="F15" s="6">
        <v>9</v>
      </c>
      <c r="G15" s="7">
        <f t="shared" si="0"/>
        <v>0.9</v>
      </c>
      <c r="H15" s="8">
        <v>0.92500000000000004</v>
      </c>
      <c r="I15" s="7">
        <f t="shared" si="1"/>
        <v>8.3249999999999993</v>
      </c>
      <c r="J15" s="8">
        <v>8.3919999999999995</v>
      </c>
      <c r="K15" s="7">
        <f t="shared" si="2"/>
        <v>9.3170000000000002</v>
      </c>
      <c r="L15" s="9">
        <f t="shared" si="3"/>
        <v>9.9280884404851347E-2</v>
      </c>
      <c r="M15" s="10">
        <f t="shared" si="4"/>
        <v>-7.1911559514865886E-4</v>
      </c>
      <c r="N15" s="3" t="s">
        <v>37</v>
      </c>
    </row>
    <row r="16" spans="1:14" ht="15" customHeight="1" x14ac:dyDescent="0.25">
      <c r="A16" s="3" t="s">
        <v>38</v>
      </c>
      <c r="B16" s="3" t="s">
        <v>39</v>
      </c>
      <c r="C16" s="3" t="s">
        <v>34</v>
      </c>
      <c r="D16" s="5">
        <v>1</v>
      </c>
      <c r="E16" s="5">
        <v>0.1</v>
      </c>
      <c r="F16" s="6">
        <v>4.5</v>
      </c>
      <c r="G16" s="7">
        <f t="shared" si="0"/>
        <v>0.45</v>
      </c>
      <c r="H16" s="8">
        <v>0.45800000000000002</v>
      </c>
      <c r="I16" s="7">
        <f t="shared" si="1"/>
        <v>4.1219999999999999</v>
      </c>
      <c r="J16" s="8">
        <v>4.1829999999999998</v>
      </c>
      <c r="K16" s="7">
        <f t="shared" si="2"/>
        <v>4.641</v>
      </c>
      <c r="L16" s="9">
        <f t="shared" si="3"/>
        <v>9.8685628097392813E-2</v>
      </c>
      <c r="M16" s="10">
        <f t="shared" si="4"/>
        <v>-1.3143719026071921E-3</v>
      </c>
      <c r="N16" s="3" t="s">
        <v>40</v>
      </c>
    </row>
    <row r="17" spans="1:14" ht="15" customHeight="1" x14ac:dyDescent="0.25">
      <c r="A17" s="3"/>
      <c r="B17" s="3"/>
      <c r="C17" s="3"/>
      <c r="D17" s="5"/>
      <c r="E17" s="5"/>
      <c r="F17" s="6"/>
      <c r="G17" s="7"/>
      <c r="H17" s="8"/>
      <c r="I17" s="7"/>
      <c r="J17" s="8"/>
      <c r="K17" s="7"/>
      <c r="L17" s="9"/>
      <c r="M17" s="10"/>
      <c r="N17" s="3"/>
    </row>
    <row r="18" spans="1:14" ht="15" customHeight="1" x14ac:dyDescent="0.25"/>
    <row r="19" spans="1:14" ht="15" customHeight="1" x14ac:dyDescent="0.25">
      <c r="A19" s="2" t="s">
        <v>41</v>
      </c>
    </row>
    <row r="20" spans="1:14" ht="15" customHeight="1" x14ac:dyDescent="0.25">
      <c r="A20" s="12" t="s">
        <v>42</v>
      </c>
      <c r="B20" s="12" t="s">
        <v>21</v>
      </c>
      <c r="C20" s="12" t="s">
        <v>22</v>
      </c>
      <c r="D20" s="13">
        <v>1</v>
      </c>
      <c r="E20" s="13">
        <v>0.1</v>
      </c>
      <c r="F20" s="14">
        <v>15</v>
      </c>
      <c r="G20" s="14">
        <f>F20*E20/D20</f>
        <v>1.5</v>
      </c>
      <c r="H20" s="15">
        <v>1.512</v>
      </c>
      <c r="I20" s="14">
        <f>IF(H20="","",H20*D20/E20-H20)</f>
        <v>13.607999999999999</v>
      </c>
      <c r="J20" s="15">
        <v>13.6</v>
      </c>
      <c r="K20" s="14">
        <f>IF(OR(H20="",J20=""),"",H20+J20)</f>
        <v>15.112</v>
      </c>
      <c r="L20" s="16">
        <f>IF(K20="","",H20*D20/K20)</f>
        <v>0.10005293806246691</v>
      </c>
      <c r="M20" s="17">
        <f>IF(L20="","",L20-E20)</f>
        <v>5.2938062466909019E-5</v>
      </c>
      <c r="N20" s="12" t="s">
        <v>43</v>
      </c>
    </row>
    <row r="21" spans="1:14" ht="15" customHeight="1" x14ac:dyDescent="0.25"/>
    <row r="22" spans="1:14" ht="15" customHeight="1" x14ac:dyDescent="0.25">
      <c r="A22" s="2" t="s">
        <v>44</v>
      </c>
    </row>
    <row r="23" spans="1:14" ht="15" customHeight="1" x14ac:dyDescent="0.25">
      <c r="A23" s="3" t="s">
        <v>22</v>
      </c>
      <c r="C23" s="18">
        <f>SUMIF($C$8:$C$17,"Alcohol 96º",$F$8:$F$17)-SUMIF($C$8:$C$17,"Alcohol 96º",$G$8:$G$17)</f>
        <v>76.8</v>
      </c>
    </row>
    <row r="24" spans="1:14" ht="15" customHeight="1" x14ac:dyDescent="0.25">
      <c r="A24" s="3" t="s">
        <v>34</v>
      </c>
      <c r="C24" s="18">
        <f>SUMIF($C$8:$C$17,"DPG",$F$8:$F$17)-SUMIF($C$8:$C$17,"DPG",$G$8:$G$17)</f>
        <v>12.15</v>
      </c>
    </row>
    <row r="25" spans="1:14" ht="15" customHeight="1" x14ac:dyDescent="0.25"/>
    <row r="26" spans="1:14" ht="15" customHeight="1" x14ac:dyDescent="0.25">
      <c r="A26" s="19" t="s">
        <v>45</v>
      </c>
    </row>
    <row r="27" spans="1:14" ht="15" customHeight="1" x14ac:dyDescent="0.25"/>
    <row r="28" spans="1:14" ht="15" customHeight="1" x14ac:dyDescent="0.25"/>
    <row r="29" spans="1:14" ht="15" customHeight="1" x14ac:dyDescent="0.25"/>
    <row r="30" spans="1:14" ht="15" customHeight="1" x14ac:dyDescent="0.25"/>
    <row r="32" spans="1:14" ht="15" customHeight="1" x14ac:dyDescent="0.25"/>
    <row r="33" ht="15" customHeight="1" x14ac:dyDescent="0.25"/>
    <row r="35" ht="15" customHeight="1" x14ac:dyDescent="0.25"/>
    <row r="36" ht="15" customHeight="1" x14ac:dyDescent="0.25"/>
    <row r="37" ht="15" customHeight="1" x14ac:dyDescent="0.25"/>
    <row r="39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</cp:lastModifiedBy>
  <cp:revision>0</cp:revision>
  <dcterms:created xsi:type="dcterms:W3CDTF">2026-10-26T20:36:41Z</dcterms:created>
  <dcterms:modified xsi:type="dcterms:W3CDTF">2026-10-31T12:45:57Z</dcterms:modified>
  <dc:language>en-US</dc:language>
</cp:coreProperties>
</file>