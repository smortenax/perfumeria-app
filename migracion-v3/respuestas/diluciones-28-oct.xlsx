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luc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<sst xmlns="http://schemas.openxmlformats.org/spreadsheetml/2006/main" count="69" uniqueCount="50">
  <si>
    <t xml:space="preserve">Diluciones de la tanda · 28-oct-2026 (sesión Decision)</t>
  </si>
  <si>
    <t xml:space="preserve">Cómo se usa:</t>
  </si>
  <si>
    <t xml:space="preserve">1. Pesa el material que dice «Material a pesar». Escribe lo que cayó de verdad en la columna amarilla «Material real».</t>
  </si>
  <si>
    <t xml:space="preserve">2. La hoja te dice cuánto diluyente añadir para llegar al % objetivo. Añádelo y escribe lo que cayó en «Diluyente real».</t>
  </si>
  <si>
    <t xml:space="preserve">3. «% exacto» es el que va a la app, en Diluciones. Todos los pesos en gramos, con 3 decimales (0,001 g = 1 mg).</t>
  </si>
  <si>
    <t xml:space="preserve">Si el material de partida ya viene diluido (columna D menor que 100 %), «material» es el peso de esa solución.</t>
  </si>
  <si>
    <t xml:space="preserve">Material</t>
  </si>
  <si>
    <t xml:space="preserve">Frasco</t>
  </si>
  <si>
    <t xml:space="preserve">Diluyente</t>
  </si>
  <si>
    <t xml:space="preserve">% del material de partida</t>
  </si>
  <si>
    <t xml:space="preserve">% objetivo</t>
  </si>
  <si>
    <t xml:space="preserve">Total objetivo (g)</t>
  </si>
  <si>
    <t xml:space="preserve">Material a pesar (g)</t>
  </si>
  <si>
    <t xml:space="preserve">Material real (g)</t>
  </si>
  <si>
    <t xml:space="preserve">Diluyente a añadir (g)</t>
  </si>
  <si>
    <t xml:space="preserve">Diluyente real (g)</t>
  </si>
  <si>
    <t xml:space="preserve">Total real (g)</t>
  </si>
  <si>
    <t xml:space="preserve">% exacto</t>
  </si>
  <si>
    <t xml:space="preserve">Diferencia con el objetivo</t>
  </si>
  <si>
    <t xml:space="preserve">Notas</t>
  </si>
  <si>
    <t xml:space="preserve">Láudano de jara (puro, bote entero)</t>
  </si>
  <si>
    <t xml:space="preserve">20 ml</t>
  </si>
  <si>
    <t xml:space="preserve">Alcohol 96º</t>
  </si>
  <si>
    <t xml:space="preserve">Pesado por diferencia: bote lleno 15,648 g, vacío 12,748 g. Arrastrado con alcohol en tibio; deja poso ceroso</t>
  </si>
  <si>
    <t xml:space="preserve">Láudano de Marruecos (50 % en TEC)</t>
  </si>
  <si>
    <t xml:space="preserve">Pesado por diferencia: bote lleno 24,359 g, vacío 22,196 g. Alcohol: 2,041 g de arrastre + 1,270 g. Queda ~19,8 % láudano, ~19,8 % TEC</t>
  </si>
  <si>
    <t xml:space="preserve">Pimienta rosa AE (aguaribay)</t>
  </si>
  <si>
    <t xml:space="preserve">Se enturbia en alcohol (lo avisa Eden Botanicals): agitar antes de usar; el perfume, filtrar al final. IFRA pendiente del certificado</t>
  </si>
  <si>
    <t xml:space="preserve">Enebro bayas AE</t>
  </si>
  <si>
    <t xml:space="preserve">Terpénico. IFRA pendiente del certificado</t>
  </si>
  <si>
    <t xml:space="preserve">Olíbano</t>
  </si>
  <si>
    <t xml:space="preserve">10 ml</t>
  </si>
  <si>
    <t xml:space="preserve">Queda poco (unos 3-4 ml): frasco pequeño para precisión; el resto se guarda puro para volumen</t>
  </si>
  <si>
    <t xml:space="preserve">Bergamota sin bergaptenos</t>
  </si>
  <si>
    <t xml:space="preserve">Manda mucho: por debajo del 50 %</t>
  </si>
  <si>
    <t xml:space="preserve">Cedro Atlas</t>
  </si>
  <si>
    <t xml:space="preserve">Soluble 1:5 en etanol (Ventós): al 20 % queda limpio. Puro para volumen</t>
  </si>
  <si>
    <t xml:space="preserve">Cedro chino</t>
  </si>
  <si>
    <t xml:space="preserve">Rico en cedrol: si cristaliza en frío, entibiar. Puro para volumen</t>
  </si>
  <si>
    <t xml:space="preserve">Acetato de terpinilo</t>
  </si>
  <si>
    <t xml:space="preserve">5 ml</t>
  </si>
  <si>
    <t xml:space="preserve">Para reforzar el cardamomo</t>
  </si>
  <si>
    <t xml:space="preserve">Rose Crystals</t>
  </si>
  <si>
    <t xml:space="preserve">DPG</t>
  </si>
  <si>
    <t xml:space="preserve">Cristalino y flojo: se diluye solo para poder disolverlo. DPG tibio (40-50 ºC). Si recristaliza en frío, añadir DPG hasta ~15 %</t>
  </si>
  <si>
    <t xml:space="preserve">Ejemplo (no es un frasco real):</t>
  </si>
  <si>
    <t xml:space="preserve">Ejemplo: Polysantol</t>
  </si>
  <si>
    <t xml:space="preserve">Cayeron 1,512 g de material y 13,600 g de alcohol</t>
  </si>
  <si>
    <t xml:space="preserve">Diluyente que vas a necesitar (aprox., con los pesos objetivo)</t>
  </si>
  <si>
    <t xml:space="preserve">Supuestos: frasco de 20 ml con alcohol ≈ 15 g; 5 ml con alcohol ≈ 3,5 g; 20 ml con DPG ≈ 18 g. Diluciones acordadas en el hilo del 28-oct; el detalle está en tanda-2026-10-28.md.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</si>
</sst>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##%"/>
    <numFmt numFmtId="166" formatCode="0.000"/>
    <numFmt numFmtId="167" formatCode="0.0000%"/>
    <numFmt numFmtId="168" formatCode="\+0.0000%;\-0.0000%;0.0000%"/>
    <numFmt numFmtId="169" formatCode="0.0&quot; g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000FF"/>
      <name val="Arial"/>
      <family val="2"/>
      <charset val="1"/>
    </font>
    <font>
      <i val="true"/>
      <sz val="10"/>
      <color rgb="FF777777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K16" activeCellId="0" sqref="K1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"/>
    <col collapsed="false" customWidth="true" hidden="false" outlineLevel="0" max="4" min="3" style="1" width="13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10" min="7" style="1" width="13"/>
    <col collapsed="false" customWidth="true" hidden="false" outlineLevel="0" max="12" min="11" style="1" width="12"/>
    <col collapsed="false" customWidth="true" hidden="false" outlineLevel="0" max="13" min="13" style="1" width="13"/>
    <col collapsed="false" customWidth="true" hidden="false" outlineLevel="0" max="14" min="14" style="1" width="4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4" customFormat="false" ht="15" hidden="false" customHeight="true" outlineLevel="0" collapsed="false">
      <c r="A4" s="4" t="s">
        <v>3</v>
      </c>
    </row>
    <row r="5" customFormat="false" ht="15" hidden="false" customHeight="true" outlineLevel="0" collapsed="false">
      <c r="A5" s="4" t="s">
        <v>4</v>
      </c>
    </row>
    <row r="6" customFormat="false" ht="15" hidden="false" customHeight="true" outlineLevel="0" collapsed="false">
      <c r="A6" s="4" t="s">
        <v>5</v>
      </c>
    </row>
    <row r="7" customFormat="false" ht="42" hidden="false" customHeight="true" outlineLevel="0" collapsed="false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19</v>
      </c>
    </row>
    <row r="8" customFormat="false" ht="15" hidden="false" customHeight="true" outlineLevel="0" collapsed="false">
      <c r="A8" s="4" t="s">
        <v>20</v>
      </c>
      <c r="B8" s="4" t="s">
        <v>21</v>
      </c>
      <c r="C8" s="4" t="s">
        <v>22</v>
      </c>
      <c r="D8" s="6" t="n">
        <v>1</v>
      </c>
      <c r="E8" s="6" t="n">
        <v>0.2</v>
      </c>
      <c r="F8" s="7" t="n">
        <v>14.5</v>
      </c>
      <c r="G8" s="8" t="n">
        <f aca="false">F8*E8/D8</f>
        <v>2.9</v>
      </c>
      <c r="H8" s="9" t="n">
        <v>2.9</v>
      </c>
      <c r="I8" s="8" t="n">
        <f aca="false">IF(H8="","",H8*D8/E8-H8)</f>
        <v>11.6</v>
      </c>
      <c r="J8" s="9" t="n">
        <v>11.61</v>
      </c>
      <c r="K8" s="8" t="n">
        <f aca="false">IF(OR(H8="",J8=""),"",H8+J8)</f>
        <v>14.51</v>
      </c>
      <c r="L8" s="10" t="n">
        <f aca="false">IF(K8="","",H8*D8/K8)</f>
        <v>0.19986216402481</v>
      </c>
      <c r="M8" s="11" t="n">
        <f aca="false">IF(L8="","",L8-E8)</f>
        <v>-0.000137835975189543</v>
      </c>
      <c r="N8" s="4" t="s">
        <v>23</v>
      </c>
    </row>
    <row r="9" customFormat="false" ht="15" hidden="false" customHeight="true" outlineLevel="0" collapsed="false">
      <c r="A9" s="4" t="s">
        <v>24</v>
      </c>
      <c r="B9" s="4" t="s">
        <v>21</v>
      </c>
      <c r="C9" s="4" t="s">
        <v>22</v>
      </c>
      <c r="D9" s="6" t="n">
        <v>0.5</v>
      </c>
      <c r="E9" s="6" t="n">
        <v>0.2</v>
      </c>
      <c r="F9" s="7" t="n">
        <v>5.408</v>
      </c>
      <c r="G9" s="8" t="n">
        <f aca="false">F9*E9/D9</f>
        <v>2.1632</v>
      </c>
      <c r="H9" s="9" t="n">
        <v>2.163</v>
      </c>
      <c r="I9" s="8" t="n">
        <f aca="false">IF(H9="","",H9*D9/E9-H9)</f>
        <v>3.2445</v>
      </c>
      <c r="J9" s="9" t="n">
        <v>3.311</v>
      </c>
      <c r="K9" s="8" t="n">
        <f aca="false">IF(OR(H9="",J9=""),"",H9+J9)</f>
        <v>5.474</v>
      </c>
      <c r="L9" s="10" t="n">
        <f aca="false">IF(K9="","",H9*D9/K9)</f>
        <v>0.197570332480818</v>
      </c>
      <c r="M9" s="11" t="n">
        <f aca="false">IF(L9="","",L9-E9)</f>
        <v>-0.00242966751918161</v>
      </c>
      <c r="N9" s="4" t="s">
        <v>25</v>
      </c>
    </row>
    <row r="10" customFormat="false" ht="15" hidden="false" customHeight="true" outlineLevel="0" collapsed="false">
      <c r="A10" s="4" t="s">
        <v>26</v>
      </c>
      <c r="B10" s="4" t="s">
        <v>21</v>
      </c>
      <c r="C10" s="4" t="s">
        <v>22</v>
      </c>
      <c r="D10" s="6" t="n">
        <v>1</v>
      </c>
      <c r="E10" s="6" t="n">
        <v>0.1</v>
      </c>
      <c r="F10" s="7" t="n">
        <v>15</v>
      </c>
      <c r="G10" s="8" t="n">
        <f aca="false">F10*E10/D10</f>
        <v>1.5</v>
      </c>
      <c r="H10" s="9" t="n">
        <v>1.55</v>
      </c>
      <c r="I10" s="8" t="n">
        <f aca="false">IF(H10="","",H10*D10/E10-H10)</f>
        <v>13.95</v>
      </c>
      <c r="J10" s="9" t="n">
        <v>13.965</v>
      </c>
      <c r="K10" s="8" t="n">
        <f aca="false">IF(OR(H10="",J10=""),"",H10+J10)</f>
        <v>15.515</v>
      </c>
      <c r="L10" s="10" t="n">
        <f aca="false">IF(K10="","",H10*D10/K10)</f>
        <v>0.0999033193683532</v>
      </c>
      <c r="M10" s="11" t="n">
        <f aca="false">IF(L10="","",L10-E10)</f>
        <v>-9.66806316468061E-005</v>
      </c>
      <c r="N10" s="4" t="s">
        <v>27</v>
      </c>
    </row>
    <row r="11" customFormat="false" ht="15" hidden="false" customHeight="true" outlineLevel="0" collapsed="false">
      <c r="A11" s="4" t="s">
        <v>28</v>
      </c>
      <c r="B11" s="4" t="s">
        <v>21</v>
      </c>
      <c r="C11" s="4" t="s">
        <v>22</v>
      </c>
      <c r="D11" s="6" t="n">
        <v>1</v>
      </c>
      <c r="E11" s="6" t="n">
        <v>0.1</v>
      </c>
      <c r="F11" s="7" t="n">
        <v>15</v>
      </c>
      <c r="G11" s="8" t="n">
        <f aca="false">F11*E11/D11</f>
        <v>1.5</v>
      </c>
      <c r="H11" s="12" t="n">
        <v>1.531</v>
      </c>
      <c r="I11" s="8" t="n">
        <f aca="false">IF(H11="","",H11*D11/E11-H11)</f>
        <v>13.779</v>
      </c>
      <c r="J11" s="9" t="n">
        <v>13.773</v>
      </c>
      <c r="K11" s="8" t="n">
        <f aca="false">IF(OR(H11="",J11=""),"",H11+J11)</f>
        <v>15.304</v>
      </c>
      <c r="L11" s="10" t="n">
        <f aca="false">IF(K11="","",H11*D11/K11)</f>
        <v>0.100039205436487</v>
      </c>
      <c r="M11" s="11" t="n">
        <f aca="false">IF(L11="","",L11-E11)</f>
        <v>3.92054364871802E-005</v>
      </c>
      <c r="N11" s="4" t="s">
        <v>29</v>
      </c>
    </row>
    <row r="12" customFormat="false" ht="15" hidden="false" customHeight="true" outlineLevel="0" collapsed="false">
      <c r="A12" s="4" t="s">
        <v>30</v>
      </c>
      <c r="B12" s="4" t="s">
        <v>31</v>
      </c>
      <c r="C12" s="4" t="s">
        <v>22</v>
      </c>
      <c r="D12" s="6" t="n">
        <v>1</v>
      </c>
      <c r="E12" s="6" t="n">
        <v>0.2</v>
      </c>
      <c r="F12" s="7" t="n">
        <v>7</v>
      </c>
      <c r="G12" s="8" t="n">
        <f aca="false">F12*E12/D12</f>
        <v>1.4</v>
      </c>
      <c r="H12" s="9" t="n">
        <v>1.404</v>
      </c>
      <c r="I12" s="8" t="n">
        <f aca="false">IF(H12="","",H12*D12/E12-H12)</f>
        <v>5.616</v>
      </c>
      <c r="J12" s="9" t="n">
        <v>5.636</v>
      </c>
      <c r="K12" s="8" t="n">
        <f aca="false">IF(OR(H12="",J12=""),"",H12+J12)</f>
        <v>7.04</v>
      </c>
      <c r="L12" s="10" t="n">
        <f aca="false">IF(K12="","",H12*D12/K12)</f>
        <v>0.199431818181818</v>
      </c>
      <c r="M12" s="11" t="n">
        <f aca="false">IF(L12="","",L12-E12)</f>
        <v>-0.000568181818181829</v>
      </c>
      <c r="N12" s="4" t="s">
        <v>32</v>
      </c>
    </row>
    <row r="13" customFormat="false" ht="15" hidden="false" customHeight="true" outlineLevel="0" collapsed="false">
      <c r="A13" s="4" t="s">
        <v>33</v>
      </c>
      <c r="B13" s="4" t="s">
        <v>21</v>
      </c>
      <c r="C13" s="4" t="s">
        <v>22</v>
      </c>
      <c r="D13" s="6" t="n">
        <v>1</v>
      </c>
      <c r="E13" s="6" t="n">
        <v>0.25</v>
      </c>
      <c r="F13" s="7" t="n">
        <v>15</v>
      </c>
      <c r="G13" s="8" t="n">
        <f aca="false">F13*E13/D13</f>
        <v>3.75</v>
      </c>
      <c r="H13" s="9" t="n">
        <v>3.751</v>
      </c>
      <c r="I13" s="8" t="n">
        <f aca="false">IF(H13="","",H13*D13/E13-H13)</f>
        <v>11.253</v>
      </c>
      <c r="J13" s="9" t="n">
        <v>11.27</v>
      </c>
      <c r="K13" s="8" t="n">
        <f aca="false">IF(OR(H13="",J13=""),"",H13+J13)</f>
        <v>15.021</v>
      </c>
      <c r="L13" s="10" t="n">
        <f aca="false">IF(K13="","",H13*D13/K13)</f>
        <v>0.249717062778776</v>
      </c>
      <c r="M13" s="11" t="n">
        <f aca="false">IF(L13="","",L13-E13)</f>
        <v>-0.000282937221223606</v>
      </c>
      <c r="N13" s="4" t="s">
        <v>34</v>
      </c>
    </row>
    <row r="14" customFormat="false" ht="15" hidden="false" customHeight="true" outlineLevel="0" collapsed="false">
      <c r="A14" s="4" t="s">
        <v>35</v>
      </c>
      <c r="B14" s="4" t="s">
        <v>21</v>
      </c>
      <c r="C14" s="4" t="s">
        <v>22</v>
      </c>
      <c r="D14" s="6" t="n">
        <v>1</v>
      </c>
      <c r="E14" s="6" t="n">
        <v>0.2</v>
      </c>
      <c r="F14" s="7" t="n">
        <v>15</v>
      </c>
      <c r="G14" s="8" t="n">
        <f aca="false">F14*E14/D14</f>
        <v>3</v>
      </c>
      <c r="H14" s="9" t="n">
        <v>3.041</v>
      </c>
      <c r="I14" s="8" t="n">
        <f aca="false">IF(H14="","",H14*D14/E14-H14)</f>
        <v>12.164</v>
      </c>
      <c r="J14" s="9" t="n">
        <v>12.18</v>
      </c>
      <c r="K14" s="8" t="n">
        <f aca="false">IF(OR(H14="",J14=""),"",H14+J14)</f>
        <v>15.221</v>
      </c>
      <c r="L14" s="10" t="n">
        <f aca="false">IF(K14="","",H14*D14/K14)</f>
        <v>0.199789764141646</v>
      </c>
      <c r="M14" s="11" t="n">
        <f aca="false">IF(L14="","",L14-E14)</f>
        <v>-0.000210235858353613</v>
      </c>
      <c r="N14" s="4" t="s">
        <v>36</v>
      </c>
    </row>
    <row r="15" customFormat="false" ht="15" hidden="false" customHeight="true" outlineLevel="0" collapsed="false">
      <c r="A15" s="4" t="s">
        <v>37</v>
      </c>
      <c r="B15" s="4" t="s">
        <v>21</v>
      </c>
      <c r="C15" s="4" t="s">
        <v>22</v>
      </c>
      <c r="D15" s="6" t="n">
        <v>1</v>
      </c>
      <c r="E15" s="6" t="n">
        <v>0.2</v>
      </c>
      <c r="F15" s="7" t="n">
        <v>15</v>
      </c>
      <c r="G15" s="8" t="n">
        <f aca="false">F15*E15/D15</f>
        <v>3</v>
      </c>
      <c r="H15" s="9" t="n">
        <v>3.032</v>
      </c>
      <c r="I15" s="8" t="n">
        <f aca="false">IF(H15="","",H15*D15/E15-H15)</f>
        <v>12.128</v>
      </c>
      <c r="J15" s="9" t="n">
        <v>12.132</v>
      </c>
      <c r="K15" s="8" t="n">
        <f aca="false">IF(OR(H15="",J15=""),"",H15+J15)</f>
        <v>15.164</v>
      </c>
      <c r="L15" s="10" t="n">
        <f aca="false">IF(K15="","",H15*D15/K15)</f>
        <v>0.19994724347138</v>
      </c>
      <c r="M15" s="11" t="n">
        <f aca="false">IF(L15="","",L15-E15)</f>
        <v>-5.27565286204124E-005</v>
      </c>
      <c r="N15" s="4" t="s">
        <v>38</v>
      </c>
    </row>
    <row r="16" customFormat="false" ht="15" hidden="false" customHeight="true" outlineLevel="0" collapsed="false">
      <c r="A16" s="4" t="s">
        <v>39</v>
      </c>
      <c r="B16" s="4" t="s">
        <v>40</v>
      </c>
      <c r="C16" s="4" t="s">
        <v>22</v>
      </c>
      <c r="D16" s="6" t="n">
        <v>1</v>
      </c>
      <c r="E16" s="6" t="n">
        <v>0.1</v>
      </c>
      <c r="F16" s="7" t="n">
        <v>3.5</v>
      </c>
      <c r="G16" s="8" t="n">
        <f aca="false">F16*E16/D16</f>
        <v>0.35</v>
      </c>
      <c r="H16" s="9" t="n">
        <v>0.354</v>
      </c>
      <c r="I16" s="8" t="n">
        <f aca="false">IF(H16="","",H16*D16/E16-H16)</f>
        <v>3.186</v>
      </c>
      <c r="J16" s="9" t="n">
        <v>3.198</v>
      </c>
      <c r="K16" s="8" t="n">
        <f aca="false">IF(OR(H16="",J16=""),"",H16+J16)</f>
        <v>3.552</v>
      </c>
      <c r="L16" s="10" t="n">
        <f aca="false">IF(K16="","",H16*D16/K16)</f>
        <v>0.0996621621621622</v>
      </c>
      <c r="M16" s="11" t="n">
        <f aca="false">IF(L16="","",L16-E16)</f>
        <v>-0.000337837837837848</v>
      </c>
      <c r="N16" s="4" t="s">
        <v>41</v>
      </c>
    </row>
    <row r="17" customFormat="false" ht="15" hidden="false" customHeight="true" outlineLevel="0" collapsed="false">
      <c r="A17" s="4" t="s">
        <v>42</v>
      </c>
      <c r="B17" s="4" t="s">
        <v>21</v>
      </c>
      <c r="C17" s="4" t="s">
        <v>43</v>
      </c>
      <c r="D17" s="6" t="n">
        <v>1</v>
      </c>
      <c r="E17" s="6" t="n">
        <v>0.2</v>
      </c>
      <c r="F17" s="7" t="n">
        <v>18</v>
      </c>
      <c r="G17" s="8" t="n">
        <f aca="false">F17*E17/D17</f>
        <v>3.6</v>
      </c>
      <c r="H17" s="9" t="n">
        <v>3.628</v>
      </c>
      <c r="I17" s="8" t="n">
        <f aca="false">IF(H17="","",H17*D17/E17-H17)</f>
        <v>14.512</v>
      </c>
      <c r="J17" s="9" t="n">
        <v>14.732</v>
      </c>
      <c r="K17" s="8" t="n">
        <f aca="false">IF(OR(H17="",J17=""),"",H17+J17)</f>
        <v>18.36</v>
      </c>
      <c r="L17" s="10" t="n">
        <f aca="false">IF(K17="","",H17*D17/K17)</f>
        <v>0.19760348583878</v>
      </c>
      <c r="M17" s="11" t="n">
        <f aca="false">IF(L17="","",L17-E17)</f>
        <v>-0.00239651416122005</v>
      </c>
      <c r="N17" s="4" t="s">
        <v>44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3" t="s">
        <v>45</v>
      </c>
    </row>
    <row r="20" customFormat="false" ht="15" hidden="false" customHeight="true" outlineLevel="0" collapsed="false">
      <c r="A20" s="13" t="s">
        <v>46</v>
      </c>
      <c r="B20" s="13" t="s">
        <v>21</v>
      </c>
      <c r="C20" s="13" t="s">
        <v>22</v>
      </c>
      <c r="D20" s="14" t="n">
        <v>1</v>
      </c>
      <c r="E20" s="14" t="n">
        <v>0.1</v>
      </c>
      <c r="F20" s="15" t="n">
        <v>15</v>
      </c>
      <c r="G20" s="15" t="n">
        <f aca="false">F20*E20/D20</f>
        <v>1.5</v>
      </c>
      <c r="H20" s="16" t="n">
        <v>1.512</v>
      </c>
      <c r="I20" s="15" t="n">
        <f aca="false">IF(H20="","",H20*D20/E20-H20)</f>
        <v>13.608</v>
      </c>
      <c r="J20" s="16" t="n">
        <v>13.6</v>
      </c>
      <c r="K20" s="15" t="n">
        <f aca="false">IF(OR(H20="",J20=""),"",H20+J20)</f>
        <v>15.112</v>
      </c>
      <c r="L20" s="17" t="n">
        <f aca="false">IF(K20="","",H20*D20/K20)</f>
        <v>0.100052938062467</v>
      </c>
      <c r="M20" s="18" t="n">
        <f aca="false">IF(L20="","",L20-E20)</f>
        <v>5.2938062466909E-005</v>
      </c>
      <c r="N20" s="13" t="s">
        <v>47</v>
      </c>
    </row>
    <row r="21" customFormat="false" ht="15" hidden="false" customHeight="true" outlineLevel="0" collapsed="false"/>
    <row r="22" customFormat="false" ht="15" hidden="false" customHeight="true" outlineLevel="0" collapsed="false">
      <c r="A22" s="3" t="s">
        <v>48</v>
      </c>
    </row>
    <row r="23" customFormat="false" ht="15" hidden="false" customHeight="true" outlineLevel="0" collapsed="false">
      <c r="A23" s="4" t="s">
        <v>22</v>
      </c>
      <c r="C23" s="19" t="n">
        <f aca="false">SUMIF($C$8:$C$17,"Alcohol 96º",$F$8:$F$17)-SUMIF($C$8:$C$17,"Alcohol 96º",$G$8:$G$17)</f>
        <v>85.8448</v>
      </c>
    </row>
    <row r="24" customFormat="false" ht="15" hidden="false" customHeight="true" outlineLevel="0" collapsed="false">
      <c r="A24" s="4" t="s">
        <v>43</v>
      </c>
      <c r="C24" s="19" t="n">
        <f aca="false">SUMIF($C$8:$C$17,"DPG",$F$8:$F$17)-SUMIF($C$8:$C$17,"DPG",$G$8:$G$17)</f>
        <v>14.4</v>
      </c>
    </row>
    <row r="25" customFormat="false" ht="15" hidden="false" customHeight="true" outlineLevel="0" collapsed="false"/>
    <row r="26" customFormat="false" ht="15" hidden="false" customHeight="true" outlineLevel="0" collapsed="false">
      <c r="A26" s="20" t="s">
        <v>49</v>
      </c>
    </row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9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2026-10-26T20:36:41Z</dcterms:created>
  <dc:creator>openpyxl</dc:creator>
  <dc:description/>
  <dc:language>en-US</dc:language>
  <cp:lastModifiedBy>SERGI</cp:lastModifiedBy>
  <dcterms:modified xsi:type="dcterms:W3CDTF">2026-10-28T19:08:24Z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